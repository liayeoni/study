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4e02142a7bfefb/바탕화^F1-DESKTOP-KABK6SS-4338098/"/>
    </mc:Choice>
  </mc:AlternateContent>
  <xr:revisionPtr revIDLastSave="1" documentId="8_{A204CA84-6E03-49C8-AF6C-69FC8F502714}" xr6:coauthVersionLast="47" xr6:coauthVersionMax="47" xr10:uidLastSave="{2FE87B9E-A0E4-4D63-943A-A42021D6FC07}"/>
  <bookViews>
    <workbookView xWindow="8868" yWindow="36" windowWidth="14172" windowHeight="11616" xr2:uid="{E1E6A299-6FE3-47AD-94D0-5F31A2742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1" l="1"/>
  <c r="G37" i="1"/>
  <c r="J36" i="1" s="1"/>
  <c r="G36" i="1"/>
  <c r="F37" i="1"/>
  <c r="F36" i="1"/>
  <c r="B30" i="1"/>
  <c r="B29" i="1"/>
  <c r="B27" i="1"/>
  <c r="B25" i="1"/>
  <c r="B21" i="1"/>
  <c r="E2" i="1"/>
  <c r="E4" i="1" s="1"/>
  <c r="B18" i="1"/>
  <c r="E12" i="1"/>
  <c r="E11" i="1"/>
  <c r="B14" i="1"/>
  <c r="B13" i="1"/>
  <c r="B12" i="1"/>
  <c r="B11" i="1"/>
  <c r="E3" i="1" l="1"/>
</calcChain>
</file>

<file path=xl/sharedStrings.xml><?xml version="1.0" encoding="utf-8"?>
<sst xmlns="http://schemas.openxmlformats.org/spreadsheetml/2006/main" count="63" uniqueCount="42">
  <si>
    <t>1) 만약에 모집단의 분산이 4이고, 표본 평균이 10, 표본의 크기가 25였다면 평균의 95% 신뢰구간은?</t>
    <phoneticPr fontId="1" type="noConversion"/>
  </si>
  <si>
    <t>평균</t>
    <phoneticPr fontId="1" type="noConversion"/>
  </si>
  <si>
    <t>모분산</t>
    <phoneticPr fontId="1" type="noConversion"/>
  </si>
  <si>
    <t>n</t>
    <phoneticPr fontId="1" type="noConversion"/>
  </si>
  <si>
    <t>Z</t>
    <phoneticPr fontId="1" type="noConversion"/>
  </si>
  <si>
    <t>상한</t>
    <phoneticPr fontId="1" type="noConversion"/>
  </si>
  <si>
    <t>하한</t>
    <phoneticPr fontId="1" type="noConversion"/>
  </si>
  <si>
    <t>2) 분산을 모르는 경우</t>
    <phoneticPr fontId="1" type="noConversion"/>
  </si>
  <si>
    <t>A반 학생의 표본을 뽑아서 조사한 키가 다음과 같을 때 학생들의 95% 신뢰구간은?</t>
    <phoneticPr fontId="1" type="noConversion"/>
  </si>
  <si>
    <t>표준편차</t>
    <phoneticPr fontId="1" type="noConversion"/>
  </si>
  <si>
    <t>N</t>
    <phoneticPr fontId="1" type="noConversion"/>
  </si>
  <si>
    <t>T</t>
    <phoneticPr fontId="1" type="noConversion"/>
  </si>
  <si>
    <t xml:space="preserve"> 백 번을 뽑았을 때 95번은 이 범위 안에 있을 것이다.</t>
    <phoneticPr fontId="1" type="noConversion"/>
  </si>
  <si>
    <t>커피의 용량이 정확히 25cc인지 검사하지 위해서는 최소 몇 개의 표본이 필요한가?</t>
    <phoneticPr fontId="1" type="noConversion"/>
  </si>
  <si>
    <t>(단, 신뢰구간 99% 허용오차 3CC, 표준편차 5CC)</t>
    <phoneticPr fontId="1" type="noConversion"/>
  </si>
  <si>
    <t>z</t>
    <phoneticPr fontId="1" type="noConversion"/>
  </si>
  <si>
    <t>d</t>
    <phoneticPr fontId="1" type="noConversion"/>
  </si>
  <si>
    <t>4) 20대 전체의 A사 휴대폰 사용률을 알기 위해서 무작위로 500명을 대상으로 조사한 결과 212명이 A사 핸드폰을 사용 중이었다.</t>
    <phoneticPr fontId="1" type="noConversion"/>
  </si>
  <si>
    <t>20대 전체의 A사 휴대폰 사용률에 대한 추정값을 구하고 95% C.I를 구하시오.</t>
    <phoneticPr fontId="1" type="noConversion"/>
  </si>
  <si>
    <t>p</t>
    <phoneticPr fontId="1" type="noConversion"/>
  </si>
  <si>
    <t>신뢰상한</t>
    <phoneticPr fontId="1" type="noConversion"/>
  </si>
  <si>
    <t>신뢰하한</t>
    <phoneticPr fontId="1" type="noConversion"/>
  </si>
  <si>
    <t>a</t>
    <phoneticPr fontId="1" type="noConversion"/>
  </si>
  <si>
    <t>b</t>
    <phoneticPr fontId="1" type="noConversion"/>
  </si>
  <si>
    <t>평균</t>
  </si>
  <si>
    <t>분산</t>
  </si>
  <si>
    <t>분산</t>
    <phoneticPr fontId="1" type="noConversion"/>
  </si>
  <si>
    <t>sp</t>
    <phoneticPr fontId="1" type="noConversion"/>
  </si>
  <si>
    <t>t-검정: 등분산 가정 두 집단</t>
  </si>
  <si>
    <t>변수 1</t>
  </si>
  <si>
    <t>변수 2</t>
  </si>
  <si>
    <t>관측수</t>
  </si>
  <si>
    <t>공동(Pooled) 분산</t>
  </si>
  <si>
    <t>가설 평균차</t>
  </si>
  <si>
    <t>자유도</t>
  </si>
  <si>
    <t>t 통계량</t>
  </si>
  <si>
    <t>P(T&lt;=t) 단측 검정</t>
  </si>
  <si>
    <t>t 기각치 단측 검정</t>
  </si>
  <si>
    <t>P(T&lt;=t) 양측 검정</t>
  </si>
  <si>
    <t>t 기각치 양측 검정</t>
  </si>
  <si>
    <t>t-검정: 쌍체 비교</t>
  </si>
  <si>
    <t>피어슨 상관 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</si>
</sst>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D932-D34F-45CD-A197-74E5B9015005}">
  <dimension ref="A1:T54"/>
  <sheetViews>
    <sheetView tabSelected="1" topLeftCell="D36" workbookViewId="0">
      <selection activeCell="L51" sqref="L51"/>
    </sheetView>
  </sheetViews>
  <sheetFormatPr defaultRowHeight="17.399999999999999" x14ac:dyDescent="0.4"/>
  <cols>
    <col min="5" max="5" width="24.69921875" bestFit="1" customWidth="1"/>
    <col min="9" max="9" width="17" bestFit="1" customWidth="1"/>
  </cols>
  <sheetData>
    <row r="1" spans="1:11" x14ac:dyDescent="0.4">
      <c r="A1" t="s">
        <v>0</v>
      </c>
    </row>
    <row r="2" spans="1:11" x14ac:dyDescent="0.4">
      <c r="D2" t="s">
        <v>4</v>
      </c>
      <c r="E2">
        <f>-_xlfn.NORM.INV(0.025, 0, 1)</f>
        <v>1.9599639845400538</v>
      </c>
    </row>
    <row r="3" spans="1:11" x14ac:dyDescent="0.4">
      <c r="A3" t="s">
        <v>1</v>
      </c>
      <c r="B3">
        <v>10</v>
      </c>
      <c r="D3" t="s">
        <v>5</v>
      </c>
      <c r="E3">
        <f>B3+E2*SQRT(B4/B5)</f>
        <v>10.783985593816022</v>
      </c>
    </row>
    <row r="4" spans="1:11" x14ac:dyDescent="0.4">
      <c r="A4" t="s">
        <v>2</v>
      </c>
      <c r="B4">
        <v>4</v>
      </c>
      <c r="D4" t="s">
        <v>6</v>
      </c>
      <c r="E4">
        <f>B3-E2*SQRT(B4/B5)</f>
        <v>9.2160144061839784</v>
      </c>
    </row>
    <row r="5" spans="1:11" x14ac:dyDescent="0.4">
      <c r="A5" t="s">
        <v>3</v>
      </c>
      <c r="B5">
        <v>25</v>
      </c>
    </row>
    <row r="7" spans="1:11" x14ac:dyDescent="0.4">
      <c r="A7" t="s">
        <v>7</v>
      </c>
    </row>
    <row r="8" spans="1:11" x14ac:dyDescent="0.4">
      <c r="A8" t="s">
        <v>8</v>
      </c>
    </row>
    <row r="9" spans="1:11" x14ac:dyDescent="0.4">
      <c r="A9">
        <v>180</v>
      </c>
      <c r="B9">
        <v>183</v>
      </c>
      <c r="C9">
        <v>174</v>
      </c>
      <c r="D9">
        <v>160</v>
      </c>
      <c r="E9">
        <v>180</v>
      </c>
      <c r="F9">
        <v>185</v>
      </c>
      <c r="G9">
        <v>182</v>
      </c>
      <c r="H9">
        <v>190</v>
      </c>
      <c r="I9">
        <v>179</v>
      </c>
      <c r="J9">
        <v>175</v>
      </c>
      <c r="K9">
        <v>177</v>
      </c>
    </row>
    <row r="11" spans="1:11" x14ac:dyDescent="0.4">
      <c r="A11" t="s">
        <v>1</v>
      </c>
      <c r="B11">
        <f>AVERAGE(A9:K9)</f>
        <v>178.63636363636363</v>
      </c>
      <c r="D11" t="s">
        <v>5</v>
      </c>
      <c r="E11">
        <f>B11+B14*B12/SQRT(B13)</f>
        <v>183.79026275913429</v>
      </c>
    </row>
    <row r="12" spans="1:11" x14ac:dyDescent="0.4">
      <c r="A12" t="s">
        <v>9</v>
      </c>
      <c r="B12">
        <f>STDEV(A9:K9)</f>
        <v>7.6716716206147311</v>
      </c>
      <c r="D12" t="s">
        <v>6</v>
      </c>
      <c r="E12">
        <f>B11-B14*B12/SQRT(B13)</f>
        <v>173.48246451359296</v>
      </c>
      <c r="F12" t="s">
        <v>12</v>
      </c>
    </row>
    <row r="13" spans="1:11" x14ac:dyDescent="0.4">
      <c r="A13" t="s">
        <v>10</v>
      </c>
      <c r="B13">
        <f>COUNT(A9:K9)</f>
        <v>11</v>
      </c>
    </row>
    <row r="14" spans="1:11" x14ac:dyDescent="0.4">
      <c r="A14" t="s">
        <v>11</v>
      </c>
      <c r="B14">
        <f>-_xlfn.T.INV(0.025, B13-1)</f>
        <v>2.2281388519862744</v>
      </c>
    </row>
    <row r="16" spans="1:11" x14ac:dyDescent="0.4">
      <c r="A16" t="s">
        <v>13</v>
      </c>
    </row>
    <row r="17" spans="1:2" x14ac:dyDescent="0.4">
      <c r="A17" t="s">
        <v>14</v>
      </c>
    </row>
    <row r="18" spans="1:2" x14ac:dyDescent="0.4">
      <c r="A18" t="s">
        <v>15</v>
      </c>
      <c r="B18">
        <f>-_xlfn.NORM.INV(0.005, 0, 1)</f>
        <v>2.5758293035488999</v>
      </c>
    </row>
    <row r="19" spans="1:2" x14ac:dyDescent="0.4">
      <c r="A19" t="s">
        <v>9</v>
      </c>
      <c r="B19">
        <v>5</v>
      </c>
    </row>
    <row r="20" spans="1:2" x14ac:dyDescent="0.4">
      <c r="A20" t="s">
        <v>16</v>
      </c>
      <c r="B20">
        <v>3</v>
      </c>
    </row>
    <row r="21" spans="1:2" x14ac:dyDescent="0.4">
      <c r="B21">
        <f>(B18*B19/B20)^2</f>
        <v>18.43026833617003</v>
      </c>
    </row>
    <row r="23" spans="1:2" x14ac:dyDescent="0.4">
      <c r="A23" t="s">
        <v>17</v>
      </c>
    </row>
    <row r="24" spans="1:2" x14ac:dyDescent="0.4">
      <c r="A24" t="s">
        <v>18</v>
      </c>
    </row>
    <row r="25" spans="1:2" x14ac:dyDescent="0.4">
      <c r="A25" t="s">
        <v>19</v>
      </c>
      <c r="B25">
        <f>212/500</f>
        <v>0.42399999999999999</v>
      </c>
    </row>
    <row r="26" spans="1:2" x14ac:dyDescent="0.4">
      <c r="A26" t="s">
        <v>3</v>
      </c>
      <c r="B26">
        <v>500</v>
      </c>
    </row>
    <row r="27" spans="1:2" x14ac:dyDescent="0.4">
      <c r="A27" t="s">
        <v>15</v>
      </c>
      <c r="B27">
        <f>-_xlfn.NORM.INV(0.025, 0, 1)</f>
        <v>1.9599639845400538</v>
      </c>
    </row>
    <row r="29" spans="1:2" x14ac:dyDescent="0.4">
      <c r="A29" t="s">
        <v>20</v>
      </c>
      <c r="B29">
        <f>B25+B27*SQRT(B25*(1-B25)/B26)</f>
        <v>0.46731688906247082</v>
      </c>
    </row>
    <row r="30" spans="1:2" x14ac:dyDescent="0.4">
      <c r="A30" t="s">
        <v>21</v>
      </c>
      <c r="B30">
        <f>B25-B27*SQRT(B25*(1-B25)/B26)</f>
        <v>0.38068311093752916</v>
      </c>
    </row>
    <row r="32" spans="1:2" x14ac:dyDescent="0.4">
      <c r="A32">
        <v>10</v>
      </c>
      <c r="B32">
        <v>13.9</v>
      </c>
    </row>
    <row r="33" spans="1:20" x14ac:dyDescent="0.4">
      <c r="A33">
        <v>10.7</v>
      </c>
      <c r="B33">
        <v>12.8</v>
      </c>
      <c r="E33" t="s">
        <v>22</v>
      </c>
      <c r="F33">
        <v>10</v>
      </c>
      <c r="G33">
        <v>10.7</v>
      </c>
      <c r="H33">
        <v>11</v>
      </c>
      <c r="I33">
        <v>11.3</v>
      </c>
      <c r="J33">
        <v>10.9</v>
      </c>
      <c r="K33">
        <v>11.7</v>
      </c>
      <c r="L33">
        <v>12</v>
      </c>
      <c r="M33">
        <v>10.7</v>
      </c>
      <c r="N33">
        <v>11.5</v>
      </c>
      <c r="O33">
        <v>11.7</v>
      </c>
      <c r="P33">
        <v>10.199999999999999</v>
      </c>
      <c r="Q33">
        <v>10.5</v>
      </c>
      <c r="R33">
        <v>11.5</v>
      </c>
      <c r="S33">
        <v>11.8</v>
      </c>
      <c r="T33">
        <v>10.8</v>
      </c>
    </row>
    <row r="34" spans="1:20" x14ac:dyDescent="0.4">
      <c r="A34">
        <v>11</v>
      </c>
      <c r="B34">
        <v>10.8</v>
      </c>
      <c r="E34" t="s">
        <v>23</v>
      </c>
      <c r="F34">
        <v>12.8</v>
      </c>
      <c r="G34">
        <v>10.8</v>
      </c>
      <c r="H34">
        <v>13.7</v>
      </c>
      <c r="I34">
        <v>13.8</v>
      </c>
      <c r="J34">
        <v>10.6</v>
      </c>
      <c r="K34">
        <v>11.7</v>
      </c>
      <c r="L34">
        <v>12.8</v>
      </c>
      <c r="M34">
        <v>10.7</v>
      </c>
      <c r="N34">
        <v>10</v>
      </c>
      <c r="O34">
        <v>10.199999999999999</v>
      </c>
      <c r="P34">
        <v>12.7</v>
      </c>
      <c r="Q34">
        <v>14.8</v>
      </c>
      <c r="R34">
        <v>13.5</v>
      </c>
      <c r="S34">
        <v>11.7</v>
      </c>
      <c r="T34">
        <v>13.9</v>
      </c>
    </row>
    <row r="35" spans="1:20" x14ac:dyDescent="0.4">
      <c r="A35">
        <v>11.3</v>
      </c>
      <c r="B35">
        <v>13.7</v>
      </c>
      <c r="F35" t="s">
        <v>1</v>
      </c>
      <c r="G35" t="s">
        <v>26</v>
      </c>
    </row>
    <row r="36" spans="1:20" x14ac:dyDescent="0.4">
      <c r="A36">
        <v>10.9</v>
      </c>
      <c r="B36">
        <v>13.8</v>
      </c>
      <c r="E36" t="s">
        <v>22</v>
      </c>
      <c r="F36">
        <f>AVERAGE(F33:T33)</f>
        <v>11.086666666666668</v>
      </c>
      <c r="G36">
        <f>VAR(F33:T33)</f>
        <v>0.37266666666666681</v>
      </c>
      <c r="I36" t="s">
        <v>27</v>
      </c>
      <c r="J36">
        <f>(14*G36+14*G37)/28</f>
        <v>1.3719523809523877</v>
      </c>
    </row>
    <row r="37" spans="1:20" x14ac:dyDescent="0.4">
      <c r="A37">
        <v>11.7</v>
      </c>
      <c r="B37">
        <v>10.6</v>
      </c>
      <c r="E37" t="s">
        <v>23</v>
      </c>
      <c r="F37">
        <f>AVERAGE(F34:T34)</f>
        <v>12.246666666666666</v>
      </c>
      <c r="G37">
        <f>VAR(F34:T34)</f>
        <v>2.3712380952381085</v>
      </c>
      <c r="J37">
        <f>(F36-F37)/SQRT(J36*(1/15+1/15))</f>
        <v>-2.7121837031099947</v>
      </c>
    </row>
    <row r="38" spans="1:20" x14ac:dyDescent="0.4">
      <c r="A38">
        <v>12</v>
      </c>
      <c r="B38">
        <v>11.7</v>
      </c>
    </row>
    <row r="39" spans="1:20" x14ac:dyDescent="0.4">
      <c r="A39">
        <v>10.7</v>
      </c>
      <c r="B39">
        <v>12.8</v>
      </c>
    </row>
    <row r="40" spans="1:20" x14ac:dyDescent="0.4">
      <c r="A40">
        <v>11.5</v>
      </c>
      <c r="B40">
        <v>10.7</v>
      </c>
    </row>
    <row r="41" spans="1:20" x14ac:dyDescent="0.4">
      <c r="A41">
        <v>11.7</v>
      </c>
      <c r="B41">
        <v>10</v>
      </c>
      <c r="E41" t="s">
        <v>28</v>
      </c>
      <c r="I41" t="s">
        <v>40</v>
      </c>
    </row>
    <row r="42" spans="1:20" ht="18" thickBot="1" x14ac:dyDescent="0.45">
      <c r="A42">
        <v>10.199999999999999</v>
      </c>
      <c r="B42">
        <v>10.199999999999999</v>
      </c>
    </row>
    <row r="43" spans="1:20" x14ac:dyDescent="0.4">
      <c r="A43">
        <v>10.5</v>
      </c>
      <c r="B43">
        <v>12.7</v>
      </c>
      <c r="E43" s="3"/>
      <c r="F43" s="3" t="s">
        <v>29</v>
      </c>
      <c r="G43" s="3" t="s">
        <v>30</v>
      </c>
      <c r="I43" s="3"/>
      <c r="J43" s="3" t="s">
        <v>29</v>
      </c>
      <c r="K43" s="3" t="s">
        <v>30</v>
      </c>
    </row>
    <row r="44" spans="1:20" x14ac:dyDescent="0.4">
      <c r="A44">
        <v>11.5</v>
      </c>
      <c r="B44">
        <v>14.8</v>
      </c>
      <c r="E44" s="1" t="s">
        <v>24</v>
      </c>
      <c r="F44" s="1">
        <v>11.086666666666668</v>
      </c>
      <c r="G44" s="1">
        <v>12.246666666666666</v>
      </c>
      <c r="I44" s="1" t="s">
        <v>24</v>
      </c>
      <c r="J44" s="1">
        <v>11.086666666666668</v>
      </c>
      <c r="K44" s="1">
        <v>12.246666666666666</v>
      </c>
    </row>
    <row r="45" spans="1:20" x14ac:dyDescent="0.4">
      <c r="A45">
        <v>11.8</v>
      </c>
      <c r="B45">
        <v>13.5</v>
      </c>
      <c r="E45" s="1" t="s">
        <v>25</v>
      </c>
      <c r="F45" s="1">
        <v>0.37266666666666681</v>
      </c>
      <c r="G45" s="1">
        <v>2.3712380952381409</v>
      </c>
      <c r="I45" s="1" t="s">
        <v>25</v>
      </c>
      <c r="J45" s="1">
        <v>0.37266666666666681</v>
      </c>
      <c r="K45" s="1">
        <v>2.3712380952381409</v>
      </c>
    </row>
    <row r="46" spans="1:20" x14ac:dyDescent="0.4">
      <c r="A46">
        <v>10.8</v>
      </c>
      <c r="B46">
        <v>11.7</v>
      </c>
      <c r="E46" s="1" t="s">
        <v>31</v>
      </c>
      <c r="F46" s="1">
        <v>15</v>
      </c>
      <c r="G46" s="1">
        <v>15</v>
      </c>
      <c r="I46" s="1" t="s">
        <v>31</v>
      </c>
      <c r="J46" s="1">
        <v>15</v>
      </c>
      <c r="K46" s="1">
        <v>15</v>
      </c>
    </row>
    <row r="47" spans="1:20" x14ac:dyDescent="0.4">
      <c r="E47" s="1" t="s">
        <v>32</v>
      </c>
      <c r="F47" s="1">
        <v>1.3719523809524039</v>
      </c>
      <c r="G47" s="1"/>
      <c r="I47" s="1" t="s">
        <v>41</v>
      </c>
      <c r="J47" s="1">
        <v>-0.14822012352704023</v>
      </c>
      <c r="K47" s="1"/>
    </row>
    <row r="48" spans="1:20" x14ac:dyDescent="0.4">
      <c r="E48" s="1" t="s">
        <v>33</v>
      </c>
      <c r="F48" s="1">
        <v>0</v>
      </c>
      <c r="G48" s="1"/>
      <c r="I48" s="1" t="s">
        <v>33</v>
      </c>
      <c r="J48" s="1">
        <v>0</v>
      </c>
      <c r="K48" s="1"/>
    </row>
    <row r="49" spans="5:11" x14ac:dyDescent="0.4">
      <c r="E49" s="1" t="s">
        <v>34</v>
      </c>
      <c r="F49" s="1">
        <v>28</v>
      </c>
      <c r="G49" s="1"/>
      <c r="I49" s="1" t="s">
        <v>34</v>
      </c>
      <c r="J49" s="1">
        <v>14</v>
      </c>
      <c r="K49" s="1"/>
    </row>
    <row r="50" spans="5:11" x14ac:dyDescent="0.4">
      <c r="E50" s="1" t="s">
        <v>35</v>
      </c>
      <c r="F50" s="1">
        <v>-2.7121837031099787</v>
      </c>
      <c r="G50" s="1"/>
      <c r="I50" s="1" t="s">
        <v>35</v>
      </c>
      <c r="J50" s="1">
        <v>-2.584135797921693</v>
      </c>
      <c r="K50" s="1"/>
    </row>
    <row r="51" spans="5:11" x14ac:dyDescent="0.4">
      <c r="E51" s="1" t="s">
        <v>36</v>
      </c>
      <c r="F51" s="1">
        <v>5.6483837375511112E-3</v>
      </c>
      <c r="G51" s="1"/>
      <c r="I51" s="1" t="s">
        <v>36</v>
      </c>
      <c r="J51" s="1">
        <v>1.0817380637939919E-2</v>
      </c>
      <c r="K51" s="1"/>
    </row>
    <row r="52" spans="5:11" x14ac:dyDescent="0.4">
      <c r="E52" s="1" t="s">
        <v>37</v>
      </c>
      <c r="F52" s="1">
        <v>1.7011309342659326</v>
      </c>
      <c r="G52" s="1"/>
      <c r="I52" s="1" t="s">
        <v>37</v>
      </c>
      <c r="J52" s="1">
        <v>1.7613101357748921</v>
      </c>
      <c r="K52" s="1"/>
    </row>
    <row r="53" spans="5:11" x14ac:dyDescent="0.4">
      <c r="E53" s="1" t="s">
        <v>38</v>
      </c>
      <c r="F53" s="1">
        <v>1.1296767475102222E-2</v>
      </c>
      <c r="G53" s="1"/>
      <c r="I53" s="1" t="s">
        <v>38</v>
      </c>
      <c r="J53" s="1">
        <v>2.1634761275879839E-2</v>
      </c>
      <c r="K53" s="1"/>
    </row>
    <row r="54" spans="5:11" ht="18" thickBot="1" x14ac:dyDescent="0.45">
      <c r="E54" s="2" t="s">
        <v>39</v>
      </c>
      <c r="F54" s="2">
        <v>2.0484071417952445</v>
      </c>
      <c r="G54" s="2"/>
      <c r="I54" s="2" t="s">
        <v>39</v>
      </c>
      <c r="J54" s="2">
        <v>2.1447866879178044</v>
      </c>
      <c r="K5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아연 이</dc:creator>
  <cp:lastModifiedBy>아연 이</cp:lastModifiedBy>
  <dcterms:created xsi:type="dcterms:W3CDTF">2024-03-18T03:10:54Z</dcterms:created>
  <dcterms:modified xsi:type="dcterms:W3CDTF">2024-03-18T09:28:38Z</dcterms:modified>
</cp:coreProperties>
</file>